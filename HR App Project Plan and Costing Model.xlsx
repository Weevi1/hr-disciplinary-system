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ing Model" sheetId="1" r:id="rId4"/>
    <sheet state="visible" name="Project Plan " sheetId="2" r:id="rId5"/>
  </sheets>
  <definedNames/>
  <calcPr/>
  <extLst>
    <ext uri="GoogleSheetsCustomDataVersion2">
      <go:sheetsCustomData xmlns:go="http://customooxmlschemas.google.com/" r:id="rId6" roundtripDataChecksum="qWOOjqdqspi15+3cCE/CorFpNZzNvmPF8lVsAZ1YO5Y="/>
    </ext>
  </extLst>
</workbook>
</file>

<file path=xl/sharedStrings.xml><?xml version="1.0" encoding="utf-8"?>
<sst xmlns="http://schemas.openxmlformats.org/spreadsheetml/2006/main" count="97" uniqueCount="89">
  <si>
    <t xml:space="preserve">Tiers </t>
  </si>
  <si>
    <t>Employees</t>
  </si>
  <si>
    <t>Annual Cost</t>
  </si>
  <si>
    <t>Monthly Cost</t>
  </si>
  <si>
    <t>Set Up Fee</t>
  </si>
  <si>
    <t xml:space="preserve">Total Cost </t>
  </si>
  <si>
    <t>5% Increase Year on Year</t>
  </si>
  <si>
    <t>Increase Plan For Now</t>
  </si>
  <si>
    <t>Set up Fee Fixed</t>
  </si>
  <si>
    <t>0-20</t>
  </si>
  <si>
    <t xml:space="preserve">put increase on hold for now until such time </t>
  </si>
  <si>
    <t xml:space="preserve">3 month Grace </t>
  </si>
  <si>
    <t>20-50</t>
  </si>
  <si>
    <t xml:space="preserve">50 -100 </t>
  </si>
  <si>
    <t>100-300</t>
  </si>
  <si>
    <t>300 - 500</t>
  </si>
  <si>
    <t xml:space="preserve">500+ </t>
  </si>
  <si>
    <t>Goal First 2 Years</t>
  </si>
  <si>
    <t>0-100</t>
  </si>
  <si>
    <t>300-500</t>
  </si>
  <si>
    <t>500+</t>
  </si>
  <si>
    <t xml:space="preserve">Project Description </t>
  </si>
  <si>
    <t xml:space="preserve">Business &amp; Legal Structure </t>
  </si>
  <si>
    <t>Due Date</t>
  </si>
  <si>
    <t>Completed</t>
  </si>
  <si>
    <t>Include/Leave For Now</t>
  </si>
  <si>
    <t>Who is Responsible Adam/Riaan</t>
  </si>
  <si>
    <t xml:space="preserve">Comments </t>
  </si>
  <si>
    <t xml:space="preserve">Confirm and Complete compnay Registration </t>
  </si>
  <si>
    <t>Ensure your company is legally registered with the Companies and Intellectual Property Commission (CIPC) as a Private Company (Pty) Ltd</t>
  </si>
  <si>
    <t xml:space="preserve">Submit your Memorandum of Incorporation (MOI) </t>
  </si>
  <si>
    <t>Reserve/Confirm your business name officially on the CIPC portal</t>
  </si>
  <si>
    <t>Tax &amp; Statutory Registrations</t>
  </si>
  <si>
    <t>SARS tax reference number</t>
  </si>
  <si>
    <t xml:space="preserve">VAT registration certificate </t>
  </si>
  <si>
    <t>PAYE/UIF/SDL registrations</t>
  </si>
  <si>
    <t>Corporate Governance &amp; Internal Agreements</t>
  </si>
  <si>
    <t>Defines shares</t>
  </si>
  <si>
    <t>Roles</t>
  </si>
  <si>
    <t>Exit strategies</t>
  </si>
  <si>
    <t>Dispute resolution</t>
  </si>
  <si>
    <t>Intellectual Property &amp; Branding</t>
  </si>
  <si>
    <t>Trademark registration for your app name</t>
  </si>
  <si>
    <t>Trademark registration business name</t>
  </si>
  <si>
    <t>Trademark registration logo</t>
  </si>
  <si>
    <t xml:space="preserve">Include </t>
  </si>
  <si>
    <t>Identify and document all IP: code ownership, documentation, trade secrets</t>
  </si>
  <si>
    <t>Leave For Now</t>
  </si>
  <si>
    <t xml:space="preserve">Decide whether to patent any unique technical innovations </t>
  </si>
  <si>
    <t>Contracts &amp; Legal Documentation</t>
  </si>
  <si>
    <t>Define usage rights</t>
  </si>
  <si>
    <t>Define subscription terms</t>
  </si>
  <si>
    <t>Define billing</t>
  </si>
  <si>
    <t>Define service levels</t>
  </si>
  <si>
    <t>Define data use</t>
  </si>
  <si>
    <t>Define warranties</t>
  </si>
  <si>
    <t>Define IP rights</t>
  </si>
  <si>
    <t>Define termination</t>
  </si>
  <si>
    <t>Define Terms and Conditions</t>
  </si>
  <si>
    <t>Popi compliance</t>
  </si>
  <si>
    <t>Supplier Agreements (hosting, payment gateway, contractors</t>
  </si>
  <si>
    <t>NDAs / Confidentiality Agreements with vendors or partners to protect IP</t>
  </si>
  <si>
    <t>Independent Contractor agreements (clear scope &amp; tax liabilities).</t>
  </si>
  <si>
    <t>Financial &amp; Banking Setup</t>
  </si>
  <si>
    <t xml:space="preserve">Business Bank Account </t>
  </si>
  <si>
    <t xml:space="preserve">Accounting setup / bookkeeping system </t>
  </si>
  <si>
    <t xml:space="preserve">Choose accounting support </t>
  </si>
  <si>
    <t>Tax &amp; reporting calendar</t>
  </si>
  <si>
    <t>Market &amp; Commercial Readiness</t>
  </si>
  <si>
    <t>Pricing model &amp; invoices compliant with tax regulations.</t>
  </si>
  <si>
    <t>B-BBEE status or affidavit</t>
  </si>
  <si>
    <t>Brand assets: logo, terms, sales brochures, website, social media adverts</t>
  </si>
  <si>
    <t>Customer support channels and SLAs</t>
  </si>
  <si>
    <t>Risk Management &amp; Insurance</t>
  </si>
  <si>
    <t xml:space="preserve">Business liability insurance </t>
  </si>
  <si>
    <t>Professional indemnity insurance (important for software/service errors).</t>
  </si>
  <si>
    <t>Data breach and cyber-attack mitigation plan</t>
  </si>
  <si>
    <r>
      <rPr>
        <rFont val="Calibri"/>
        <b/>
        <color theme="1"/>
        <sz val="11.0"/>
      </rPr>
      <t>Beta testing &amp; quality assurance plan</t>
    </r>
    <r>
      <rPr>
        <rFont val="Calibri"/>
        <color theme="1"/>
        <sz val="11.0"/>
      </rPr>
      <t xml:space="preserve"> </t>
    </r>
  </si>
  <si>
    <t>Adam</t>
  </si>
  <si>
    <t>Riaan</t>
  </si>
  <si>
    <t>Speeddo</t>
  </si>
  <si>
    <t>Pointer</t>
  </si>
  <si>
    <t xml:space="preserve">Start </t>
  </si>
  <si>
    <t>Value</t>
  </si>
  <si>
    <t>Initial</t>
  </si>
  <si>
    <t xml:space="preserve">Middle </t>
  </si>
  <si>
    <t xml:space="preserve">End </t>
  </si>
  <si>
    <t>End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</si>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</sst>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&quot;* #,##0.00_-;\-&quot;R&quot;* #,##0.00_-;_-&quot;R&quot;* &quot;-&quot;??_-;_-@"/>
    <numFmt numFmtId="165" formatCode="_-* #,##0.00_-;\-* #,##0.00_-;_-* &quot;-&quot;??_-;_-@"/>
  </numFmts>
  <fonts count="8">
    <font>
      <sz val="11.0"/>
      <color theme="1"/>
      <name val="Aptos Narrow"/>
      <scheme val="minor"/>
    </font>
    <font>
      <b/>
      <sz val="11.0"/>
      <color theme="0"/>
      <name val="Aptos Narrow"/>
    </font>
    <font>
      <sz val="11.0"/>
      <color theme="1"/>
      <name val="Aptos Narrow"/>
    </font>
    <font/>
    <font>
      <sz val="11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>
      <sz val="11.0"/>
      <color theme="0"/>
      <name val="Aptos Narrow"/>
    </font>
  </fonts>
  <fills count="17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BE9F7"/>
        <bgColor rgb="FFDBE9F7"/>
      </patternFill>
    </fill>
    <fill>
      <patternFill patternType="solid">
        <fgColor rgb="FF00B050"/>
        <bgColor rgb="FF00B050"/>
      </patternFill>
    </fill>
    <fill>
      <patternFill patternType="solid">
        <fgColor rgb="FFC1F0C8"/>
        <bgColor rgb="FFC1F0C8"/>
      </patternFill>
    </fill>
    <fill>
      <patternFill patternType="solid">
        <fgColor rgb="FF7030A0"/>
        <bgColor rgb="FF7030A0"/>
      </patternFill>
    </fill>
    <fill>
      <patternFill patternType="solid">
        <fgColor rgb="FFF1CEEE"/>
        <bgColor rgb="FFF1CEEE"/>
      </patternFill>
    </fill>
    <fill>
      <patternFill patternType="solid">
        <fgColor rgb="FFFFC000"/>
        <bgColor rgb="FFFFC000"/>
      </patternFill>
    </fill>
    <fill>
      <patternFill patternType="solid">
        <fgColor rgb="FFFAE2D5"/>
        <bgColor rgb="FFFAE2D5"/>
      </patternFill>
    </fill>
    <fill>
      <patternFill patternType="solid">
        <fgColor rgb="FF0070C0"/>
        <bgColor rgb="FF0070C0"/>
      </patternFill>
    </fill>
    <fill>
      <patternFill patternType="solid">
        <fgColor rgb="FFCAEDFB"/>
        <bgColor rgb="FFCAEDFB"/>
      </patternFill>
    </fill>
    <fill>
      <patternFill patternType="solid">
        <fgColor rgb="FFC00000"/>
        <bgColor rgb="FFC00000"/>
      </patternFill>
    </fill>
    <fill>
      <patternFill patternType="solid">
        <fgColor rgb="FFFF7C80"/>
        <bgColor rgb="FFFF7C8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7F7F7F"/>
        <bgColor rgb="FF7F7F7F"/>
      </patternFill>
    </fill>
  </fills>
  <borders count="13">
    <border/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2" fillId="0" fontId="2" numFmtId="0" xfId="0" applyAlignment="1" applyBorder="1" applyFont="1">
      <alignment horizontal="center"/>
    </xf>
    <xf borderId="2" fillId="0" fontId="2" numFmtId="0" xfId="0" applyBorder="1" applyFont="1"/>
    <xf borderId="2" fillId="0" fontId="2" numFmtId="164" xfId="0" applyBorder="1" applyFont="1" applyNumberFormat="1"/>
    <xf borderId="4" fillId="0" fontId="2" numFmtId="0" xfId="0" applyBorder="1" applyFont="1"/>
    <xf borderId="0" fillId="0" fontId="2" numFmtId="0" xfId="0" applyFont="1"/>
    <xf borderId="5" fillId="0" fontId="2" numFmtId="0" xfId="0" applyBorder="1" applyFont="1"/>
    <xf borderId="2" fillId="2" fontId="1" numFmtId="164" xfId="0" applyBorder="1" applyFont="1" applyNumberFormat="1"/>
    <xf borderId="2" fillId="0" fontId="2" numFmtId="165" xfId="0" applyBorder="1" applyFont="1" applyNumberFormat="1"/>
    <xf borderId="0" fillId="0" fontId="2" numFmtId="164" xfId="0" applyFont="1" applyNumberFormat="1"/>
    <xf borderId="0" fillId="0" fontId="2" numFmtId="0" xfId="0" applyAlignment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2" fillId="2" fontId="1" numFmtId="0" xfId="0" applyBorder="1" applyFont="1"/>
    <xf borderId="12" fillId="3" fontId="2" numFmtId="0" xfId="0" applyBorder="1" applyFill="1" applyFont="1"/>
    <xf borderId="2" fillId="3" fontId="4" numFmtId="0" xfId="0" applyAlignment="1" applyBorder="1" applyFont="1">
      <alignment shrinkToFit="0" wrapText="1"/>
    </xf>
    <xf borderId="2" fillId="4" fontId="5" numFmtId="0" xfId="0" applyBorder="1" applyFill="1" applyFont="1"/>
    <xf borderId="2" fillId="5" fontId="4" numFmtId="0" xfId="0" applyBorder="1" applyFill="1" applyFont="1"/>
    <xf borderId="2" fillId="5" fontId="4" numFmtId="0" xfId="0" applyAlignment="1" applyBorder="1" applyFont="1">
      <alignment horizontal="left" vertical="center"/>
    </xf>
    <xf borderId="2" fillId="5" fontId="4" numFmtId="0" xfId="0" applyAlignment="1" applyBorder="1" applyFont="1">
      <alignment horizontal="center" vertical="center"/>
    </xf>
    <xf borderId="2" fillId="6" fontId="5" numFmtId="0" xfId="0" applyBorder="1" applyFill="1" applyFont="1"/>
    <xf borderId="2" fillId="7" fontId="4" numFmtId="0" xfId="0" applyBorder="1" applyFill="1" applyFont="1"/>
    <xf borderId="2" fillId="8" fontId="5" numFmtId="0" xfId="0" applyBorder="1" applyFill="1" applyFont="1"/>
    <xf borderId="2" fillId="9" fontId="2" numFmtId="0" xfId="0" applyBorder="1" applyFill="1" applyFont="1"/>
    <xf borderId="2" fillId="9" fontId="6" numFmtId="0" xfId="0" applyAlignment="1" applyBorder="1" applyFont="1">
      <alignment readingOrder="0"/>
    </xf>
    <xf borderId="2" fillId="9" fontId="4" numFmtId="0" xfId="0" applyBorder="1" applyFont="1"/>
    <xf borderId="0" fillId="0" fontId="7" numFmtId="0" xfId="0" applyFont="1"/>
    <xf borderId="2" fillId="9" fontId="4" numFmtId="0" xfId="0" applyAlignment="1" applyBorder="1" applyFont="1">
      <alignment shrinkToFit="0" wrapText="1"/>
    </xf>
    <xf borderId="2" fillId="10" fontId="5" numFmtId="0" xfId="0" applyBorder="1" applyFill="1" applyFont="1"/>
    <xf borderId="2" fillId="11" fontId="4" numFmtId="0" xfId="0" applyBorder="1" applyFill="1" applyFont="1"/>
    <xf borderId="2" fillId="12" fontId="5" numFmtId="0" xfId="0" applyBorder="1" applyFill="1" applyFont="1"/>
    <xf borderId="2" fillId="13" fontId="4" numFmtId="0" xfId="0" applyBorder="1" applyFill="1" applyFont="1"/>
    <xf borderId="2" fillId="14" fontId="5" numFmtId="0" xfId="0" applyBorder="1" applyFill="1" applyFont="1"/>
    <xf borderId="2" fillId="15" fontId="4" numFmtId="0" xfId="0" applyBorder="1" applyFill="1" applyFont="1"/>
    <xf borderId="2" fillId="16" fontId="4" numFmtId="0" xfId="0" applyBorder="1" applyFill="1" applyFont="1"/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Market Readiness</a:t>
            </a:r>
          </a:p>
        </c:rich>
      </c:tx>
      <c:overlay val="0"/>
    </c:title>
    <c:plotArea>
      <c:layout>
        <c:manualLayout>
          <c:xMode val="edge"/>
          <c:yMode val="edge"/>
          <c:x val="0.21849833518337158"/>
          <c:y val="0.10068649885583524"/>
          <c:w val="0.543480036247247"/>
          <c:h val="0.8993135011441648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Pt>
            <c:idx val="2"/>
            <c:explosion val="4"/>
            <c:spPr>
              <a:solidFill>
                <a:srgbClr val="196B24"/>
              </a:solidFill>
            </c:spPr>
          </c:dPt>
          <c:dPt>
            <c:idx val="3"/>
            <c:spPr>
              <a:solidFill>
                <a:srgbClr val="00B050"/>
              </a:solidFill>
            </c:spPr>
          </c:dPt>
          <c:dPt>
            <c:idx val="4"/>
            <c:spPr>
              <a:solidFill>
                <a:srgbClr val="A02B9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'Project Plan '!$B$78:$B$82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50</xdr:row>
      <xdr:rowOff>142875</xdr:rowOff>
    </xdr:from>
    <xdr:ext cx="10791825" cy="3886200"/>
    <xdr:graphicFrame>
      <xdr:nvGraphicFramePr>
        <xdr:cNvPr id="171012504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4.88"/>
    <col customWidth="1" min="3" max="3" width="12.13"/>
    <col customWidth="1" min="4" max="4" width="12.25"/>
    <col customWidth="1" min="5" max="5" width="13.88"/>
    <col customWidth="1" min="6" max="6" width="12.25"/>
    <col customWidth="1" min="7" max="7" width="21.38"/>
    <col customWidth="1" min="8" max="8" width="36.25"/>
    <col customWidth="1" min="9" max="9" width="8.63"/>
    <col customWidth="1" min="10" max="10" width="14.5"/>
    <col customWidth="1" min="11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3" t="s">
        <v>8</v>
      </c>
    </row>
    <row r="2" ht="14.25" customHeight="1">
      <c r="A2" s="4">
        <v>1.0</v>
      </c>
      <c r="B2" s="5" t="s">
        <v>9</v>
      </c>
      <c r="C2" s="6">
        <v>5000.0</v>
      </c>
      <c r="D2" s="6">
        <f t="shared" ref="D2:D7" si="1">C2/12</f>
        <v>416.6666667</v>
      </c>
      <c r="E2" s="6">
        <v>1000.0</v>
      </c>
      <c r="F2" s="6">
        <f t="shared" ref="F2:F7" si="2">C2+E2</f>
        <v>6000</v>
      </c>
      <c r="G2" s="6">
        <f t="shared" ref="G2:G7" si="3">C2*5%</f>
        <v>250</v>
      </c>
      <c r="H2" s="5" t="s">
        <v>10</v>
      </c>
      <c r="J2" s="3" t="s">
        <v>11</v>
      </c>
    </row>
    <row r="3" ht="14.25" customHeight="1">
      <c r="A3" s="4">
        <v>2.0</v>
      </c>
      <c r="B3" s="5" t="s">
        <v>12</v>
      </c>
      <c r="C3" s="6">
        <v>8000.0</v>
      </c>
      <c r="D3" s="6">
        <f t="shared" si="1"/>
        <v>666.6666667</v>
      </c>
      <c r="E3" s="6">
        <v>1500.0</v>
      </c>
      <c r="F3" s="6">
        <f t="shared" si="2"/>
        <v>9500</v>
      </c>
      <c r="G3" s="6">
        <f t="shared" si="3"/>
        <v>400</v>
      </c>
      <c r="H3" s="5" t="s">
        <v>10</v>
      </c>
    </row>
    <row r="4" ht="14.25" customHeight="1">
      <c r="A4" s="4">
        <v>2.0</v>
      </c>
      <c r="B4" s="5" t="s">
        <v>13</v>
      </c>
      <c r="C4" s="6">
        <v>12000.0</v>
      </c>
      <c r="D4" s="6">
        <f t="shared" si="1"/>
        <v>1000</v>
      </c>
      <c r="E4" s="6">
        <v>2500.0</v>
      </c>
      <c r="F4" s="6">
        <f t="shared" si="2"/>
        <v>14500</v>
      </c>
      <c r="G4" s="6">
        <f t="shared" si="3"/>
        <v>600</v>
      </c>
      <c r="H4" s="5" t="s">
        <v>10</v>
      </c>
    </row>
    <row r="5" ht="14.25" customHeight="1">
      <c r="A5" s="4">
        <v>3.0</v>
      </c>
      <c r="B5" s="5" t="s">
        <v>14</v>
      </c>
      <c r="C5" s="6">
        <v>15000.0</v>
      </c>
      <c r="D5" s="6">
        <f t="shared" si="1"/>
        <v>1250</v>
      </c>
      <c r="E5" s="6">
        <v>2500.0</v>
      </c>
      <c r="F5" s="6">
        <f t="shared" si="2"/>
        <v>17500</v>
      </c>
      <c r="G5" s="6">
        <f t="shared" si="3"/>
        <v>750</v>
      </c>
      <c r="H5" s="5" t="s">
        <v>10</v>
      </c>
    </row>
    <row r="6" ht="14.25" customHeight="1">
      <c r="A6" s="4">
        <v>4.0</v>
      </c>
      <c r="B6" s="5" t="s">
        <v>15</v>
      </c>
      <c r="C6" s="6">
        <v>20000.0</v>
      </c>
      <c r="D6" s="6">
        <f t="shared" si="1"/>
        <v>1666.666667</v>
      </c>
      <c r="E6" s="6">
        <v>2500.0</v>
      </c>
      <c r="F6" s="6">
        <f t="shared" si="2"/>
        <v>22500</v>
      </c>
      <c r="G6" s="6">
        <f t="shared" si="3"/>
        <v>1000</v>
      </c>
      <c r="H6" s="5" t="s">
        <v>10</v>
      </c>
    </row>
    <row r="7" ht="14.25" customHeight="1">
      <c r="A7" s="4">
        <v>5.0</v>
      </c>
      <c r="B7" s="5" t="s">
        <v>16</v>
      </c>
      <c r="C7" s="6">
        <v>25000.0</v>
      </c>
      <c r="D7" s="6">
        <f t="shared" si="1"/>
        <v>2083.333333</v>
      </c>
      <c r="E7" s="6">
        <v>2500.0</v>
      </c>
      <c r="F7" s="6">
        <f t="shared" si="2"/>
        <v>27500</v>
      </c>
      <c r="G7" s="6">
        <f t="shared" si="3"/>
        <v>1250</v>
      </c>
      <c r="H7" s="5" t="s">
        <v>10</v>
      </c>
    </row>
    <row r="8" ht="5.25" customHeight="1">
      <c r="A8" s="7"/>
      <c r="B8" s="8"/>
      <c r="C8" s="8"/>
      <c r="D8" s="8"/>
      <c r="E8" s="8"/>
      <c r="F8" s="8"/>
      <c r="G8" s="8"/>
      <c r="H8" s="9"/>
    </row>
    <row r="9" ht="14.25" customHeight="1">
      <c r="A9" s="7"/>
      <c r="B9" s="2" t="s">
        <v>17</v>
      </c>
      <c r="C9" s="10">
        <v>500000.0</v>
      </c>
      <c r="D9" s="8"/>
      <c r="E9" s="8"/>
      <c r="F9" s="8"/>
      <c r="G9" s="8"/>
      <c r="H9" s="9"/>
    </row>
    <row r="10" ht="14.25" customHeight="1">
      <c r="A10" s="7"/>
      <c r="B10" s="5" t="s">
        <v>9</v>
      </c>
      <c r="C10" s="11">
        <f>$C$9/C2</f>
        <v>100</v>
      </c>
      <c r="D10" s="12"/>
      <c r="E10" s="12"/>
      <c r="F10" s="12"/>
      <c r="G10" s="8"/>
      <c r="H10" s="9"/>
    </row>
    <row r="11" ht="14.25" customHeight="1">
      <c r="A11" s="7"/>
      <c r="B11" s="5" t="s">
        <v>18</v>
      </c>
      <c r="C11" s="11">
        <f t="shared" ref="C11:C14" si="4">$C$9/C4</f>
        <v>41.66666667</v>
      </c>
      <c r="D11" s="13"/>
      <c r="E11" s="12"/>
      <c r="F11" s="8"/>
      <c r="G11" s="8"/>
      <c r="H11" s="9"/>
    </row>
    <row r="12" ht="14.25" customHeight="1">
      <c r="A12" s="7"/>
      <c r="B12" s="5" t="s">
        <v>14</v>
      </c>
      <c r="C12" s="11">
        <f t="shared" si="4"/>
        <v>33.33333333</v>
      </c>
      <c r="D12" s="8"/>
      <c r="E12" s="12"/>
      <c r="F12" s="8"/>
      <c r="G12" s="8"/>
      <c r="H12" s="9"/>
    </row>
    <row r="13" ht="14.25" customHeight="1">
      <c r="A13" s="7"/>
      <c r="B13" s="5" t="s">
        <v>19</v>
      </c>
      <c r="C13" s="11">
        <f t="shared" si="4"/>
        <v>25</v>
      </c>
      <c r="D13" s="8"/>
      <c r="E13" s="8"/>
      <c r="F13" s="8"/>
      <c r="G13" s="8"/>
      <c r="H13" s="9"/>
    </row>
    <row r="14" ht="14.25" customHeight="1">
      <c r="A14" s="14"/>
      <c r="B14" s="5" t="s">
        <v>20</v>
      </c>
      <c r="C14" s="11">
        <f t="shared" si="4"/>
        <v>20</v>
      </c>
      <c r="D14" s="15"/>
      <c r="E14" s="15"/>
      <c r="F14" s="15"/>
      <c r="G14" s="15"/>
      <c r="H14" s="16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2"/>
  <cols>
    <col customWidth="1" min="1" max="1" width="62.5"/>
    <col customWidth="1" min="2" max="2" width="8.75"/>
    <col customWidth="1" min="3" max="3" width="10.63"/>
    <col customWidth="1" min="4" max="4" width="20.5"/>
    <col customWidth="1" min="5" max="5" width="28.5"/>
    <col customWidth="1" min="6" max="6" width="10.75"/>
    <col customWidth="1" min="7" max="8" width="8.63"/>
    <col customWidth="1" min="9" max="9" width="12.25"/>
    <col customWidth="1" min="10" max="26" width="8.63"/>
  </cols>
  <sheetData>
    <row r="1" ht="14.25" customHeight="1">
      <c r="A1" s="17" t="s">
        <v>21</v>
      </c>
      <c r="B1" s="18"/>
      <c r="C1" s="18"/>
      <c r="D1" s="18"/>
      <c r="E1" s="18"/>
      <c r="F1" s="19"/>
      <c r="K1" s="8"/>
      <c r="L1" s="8"/>
      <c r="M1" s="8"/>
      <c r="N1" s="8"/>
      <c r="O1" s="8"/>
      <c r="P1" s="8"/>
      <c r="Q1" s="8"/>
      <c r="R1" s="8"/>
    </row>
    <row r="2" ht="14.25" customHeight="1">
      <c r="A2" s="20" t="s">
        <v>22</v>
      </c>
      <c r="B2" s="20" t="s">
        <v>23</v>
      </c>
      <c r="C2" s="20" t="s">
        <v>24</v>
      </c>
      <c r="D2" s="20" t="s">
        <v>25</v>
      </c>
      <c r="E2" s="20" t="s">
        <v>26</v>
      </c>
      <c r="F2" s="2" t="s">
        <v>27</v>
      </c>
      <c r="K2" s="8"/>
      <c r="L2" s="8"/>
      <c r="M2" s="8"/>
      <c r="N2" s="8"/>
      <c r="O2" s="8"/>
      <c r="P2" s="8"/>
      <c r="Q2" s="8"/>
      <c r="R2" s="8"/>
    </row>
    <row r="3" ht="14.25" hidden="1" customHeight="1" outlineLevel="1">
      <c r="A3" s="21" t="s">
        <v>28</v>
      </c>
      <c r="B3" s="21"/>
      <c r="C3" s="21" t="b">
        <v>0</v>
      </c>
      <c r="D3" s="21"/>
      <c r="E3" s="21"/>
      <c r="F3" s="21"/>
      <c r="K3" s="8"/>
      <c r="L3" s="8"/>
      <c r="M3" s="8"/>
      <c r="N3" s="8"/>
      <c r="O3" s="8"/>
      <c r="P3" s="8"/>
      <c r="Q3" s="8"/>
      <c r="R3" s="8"/>
    </row>
    <row r="4" ht="14.25" hidden="1" customHeight="1" outlineLevel="1">
      <c r="A4" s="22" t="s">
        <v>29</v>
      </c>
      <c r="B4" s="22"/>
      <c r="C4" s="22" t="b">
        <v>0</v>
      </c>
      <c r="D4" s="21"/>
      <c r="E4" s="22"/>
      <c r="F4" s="22"/>
      <c r="K4" s="8"/>
      <c r="L4" s="8"/>
      <c r="M4" s="8"/>
      <c r="N4" s="8"/>
      <c r="O4" s="8"/>
      <c r="P4" s="8"/>
      <c r="Q4" s="8"/>
      <c r="R4" s="8"/>
    </row>
    <row r="5" ht="14.25" hidden="1" customHeight="1" outlineLevel="1">
      <c r="A5" s="22" t="s">
        <v>30</v>
      </c>
      <c r="B5" s="22"/>
      <c r="C5" s="22" t="b">
        <v>0</v>
      </c>
      <c r="D5" s="21"/>
      <c r="E5" s="22"/>
      <c r="F5" s="22"/>
      <c r="K5" s="8"/>
      <c r="L5" s="8"/>
      <c r="M5" s="8"/>
      <c r="N5" s="8"/>
      <c r="O5" s="8"/>
      <c r="P5" s="8"/>
      <c r="Q5" s="8"/>
      <c r="R5" s="8"/>
    </row>
    <row r="6" ht="14.25" hidden="1" customHeight="1" outlineLevel="1">
      <c r="A6" s="22" t="s">
        <v>31</v>
      </c>
      <c r="B6" s="22"/>
      <c r="C6" s="22" t="b">
        <v>0</v>
      </c>
      <c r="D6" s="21"/>
      <c r="E6" s="22"/>
      <c r="F6" s="22"/>
      <c r="K6" s="8"/>
      <c r="L6" s="8"/>
      <c r="M6" s="8"/>
      <c r="N6" s="8"/>
      <c r="O6" s="8"/>
      <c r="P6" s="8"/>
      <c r="Q6" s="8"/>
      <c r="R6" s="8"/>
    </row>
    <row r="7" ht="14.25" customHeight="1" collapsed="1">
      <c r="A7" s="23" t="s">
        <v>32</v>
      </c>
      <c r="B7" s="23"/>
      <c r="C7" s="23"/>
      <c r="D7" s="23"/>
      <c r="E7" s="23"/>
      <c r="F7" s="23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ht="14.25" hidden="1" customHeight="1" outlineLevel="1">
      <c r="A8" s="24" t="s">
        <v>33</v>
      </c>
      <c r="B8" s="24"/>
      <c r="C8" s="24" t="b">
        <v>0</v>
      </c>
      <c r="D8" s="21"/>
      <c r="E8" s="24"/>
      <c r="F8" s="24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ht="14.25" hidden="1" customHeight="1" outlineLevel="1">
      <c r="A9" s="24" t="s">
        <v>34</v>
      </c>
      <c r="B9" s="24"/>
      <c r="C9" s="24" t="b">
        <v>0</v>
      </c>
      <c r="D9" s="21"/>
      <c r="E9" s="24"/>
      <c r="F9" s="24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ht="14.25" hidden="1" customHeight="1" outlineLevel="1">
      <c r="A10" s="25" t="s">
        <v>35</v>
      </c>
      <c r="B10" s="25"/>
      <c r="C10" s="26" t="b">
        <v>0</v>
      </c>
      <c r="D10" s="21"/>
      <c r="E10" s="24"/>
      <c r="F10" s="25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ht="14.25" customHeight="1" collapsed="1">
      <c r="A11" s="27" t="s">
        <v>36</v>
      </c>
      <c r="B11" s="27"/>
      <c r="C11" s="27"/>
      <c r="D11" s="27"/>
      <c r="E11" s="27"/>
      <c r="F11" s="27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ht="14.25" hidden="1" customHeight="1" outlineLevel="1">
      <c r="A12" s="28" t="s">
        <v>37</v>
      </c>
      <c r="B12" s="28"/>
      <c r="C12" s="28" t="b">
        <v>0</v>
      </c>
      <c r="D12" s="21"/>
      <c r="E12" s="28"/>
      <c r="F12" s="2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ht="14.25" hidden="1" customHeight="1" outlineLevel="1">
      <c r="A13" s="28" t="s">
        <v>38</v>
      </c>
      <c r="B13" s="28"/>
      <c r="C13" s="28" t="b">
        <v>0</v>
      </c>
      <c r="D13" s="21"/>
      <c r="E13" s="28"/>
      <c r="F13" s="2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ht="14.25" hidden="1" customHeight="1" outlineLevel="1">
      <c r="A14" s="28" t="s">
        <v>39</v>
      </c>
      <c r="B14" s="28"/>
      <c r="C14" s="28" t="b">
        <v>0</v>
      </c>
      <c r="D14" s="21"/>
      <c r="E14" s="28"/>
      <c r="F14" s="2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ht="14.25" hidden="1" customHeight="1" outlineLevel="1">
      <c r="A15" s="28" t="s">
        <v>40</v>
      </c>
      <c r="B15" s="28"/>
      <c r="C15" s="28" t="b">
        <v>0</v>
      </c>
      <c r="D15" s="21"/>
      <c r="E15" s="28"/>
      <c r="F15" s="2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ht="14.25" customHeight="1" collapsed="1">
      <c r="A16" s="29" t="s">
        <v>41</v>
      </c>
      <c r="B16" s="29"/>
      <c r="C16" s="29"/>
      <c r="D16" s="29"/>
      <c r="E16" s="29"/>
      <c r="F16" s="29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ht="14.25" customHeight="1" outlineLevel="1">
      <c r="A17" s="30" t="s">
        <v>42</v>
      </c>
      <c r="B17" s="30"/>
      <c r="C17" s="31" t="b">
        <v>0</v>
      </c>
      <c r="D17" s="21"/>
      <c r="E17" s="30"/>
      <c r="F17" s="30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ht="14.25" customHeight="1" outlineLevel="1">
      <c r="A18" s="32" t="s">
        <v>43</v>
      </c>
      <c r="B18" s="32"/>
      <c r="C18" s="32" t="b">
        <v>0</v>
      </c>
      <c r="D18" s="21"/>
      <c r="E18" s="30"/>
      <c r="F18" s="32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ht="14.25" customHeight="1" outlineLevel="1">
      <c r="A19" s="32" t="s">
        <v>44</v>
      </c>
      <c r="B19" s="32"/>
      <c r="C19" s="32" t="b">
        <v>0</v>
      </c>
      <c r="D19" s="21"/>
      <c r="E19" s="30"/>
      <c r="F19" s="32"/>
      <c r="G19" s="8"/>
      <c r="H19" s="8"/>
      <c r="I19" s="8"/>
      <c r="J19" s="8"/>
      <c r="K19" s="8"/>
      <c r="L19" s="8"/>
      <c r="M19" s="33" t="s">
        <v>45</v>
      </c>
      <c r="N19" s="8"/>
      <c r="O19" s="8"/>
      <c r="P19" s="8"/>
      <c r="Q19" s="8"/>
      <c r="R19" s="8"/>
    </row>
    <row r="20" ht="14.25" customHeight="1" outlineLevel="1">
      <c r="A20" s="34" t="s">
        <v>46</v>
      </c>
      <c r="B20" s="34"/>
      <c r="C20" s="34" t="b">
        <v>0</v>
      </c>
      <c r="D20" s="21"/>
      <c r="E20" s="30"/>
      <c r="F20" s="34"/>
      <c r="G20" s="8"/>
      <c r="H20" s="8"/>
      <c r="I20" s="8"/>
      <c r="J20" s="8"/>
      <c r="K20" s="8"/>
      <c r="L20" s="8"/>
      <c r="M20" s="33" t="s">
        <v>47</v>
      </c>
      <c r="N20" s="8"/>
      <c r="O20" s="8"/>
      <c r="P20" s="8"/>
      <c r="Q20" s="8"/>
      <c r="R20" s="8"/>
    </row>
    <row r="21" ht="14.25" customHeight="1" outlineLevel="1">
      <c r="A21" s="34" t="s">
        <v>48</v>
      </c>
      <c r="B21" s="34"/>
      <c r="C21" s="34" t="b">
        <v>0</v>
      </c>
      <c r="D21" s="21"/>
      <c r="E21" s="30"/>
      <c r="F21" s="3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ht="14.25" customHeight="1">
      <c r="A22" s="35" t="s">
        <v>49</v>
      </c>
      <c r="B22" s="35"/>
      <c r="C22" s="35"/>
      <c r="D22" s="35"/>
      <c r="E22" s="35"/>
      <c r="F22" s="35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ht="14.25" hidden="1" customHeight="1" outlineLevel="2">
      <c r="A23" s="36" t="s">
        <v>50</v>
      </c>
      <c r="B23" s="36"/>
      <c r="C23" s="36" t="b">
        <v>0</v>
      </c>
      <c r="D23" s="21"/>
      <c r="E23" s="36"/>
      <c r="F23" s="36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ht="14.25" hidden="1" customHeight="1" outlineLevel="2">
      <c r="A24" s="36" t="s">
        <v>51</v>
      </c>
      <c r="B24" s="36"/>
      <c r="C24" s="36" t="b">
        <v>0</v>
      </c>
      <c r="D24" s="21"/>
      <c r="E24" s="36"/>
      <c r="F24" s="36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ht="14.25" hidden="1" customHeight="1" outlineLevel="2">
      <c r="A25" s="36" t="s">
        <v>52</v>
      </c>
      <c r="B25" s="36"/>
      <c r="C25" s="36" t="b">
        <v>0</v>
      </c>
      <c r="D25" s="21"/>
      <c r="E25" s="36"/>
      <c r="F25" s="36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ht="14.25" hidden="1" customHeight="1" outlineLevel="2">
      <c r="A26" s="36" t="s">
        <v>53</v>
      </c>
      <c r="B26" s="36"/>
      <c r="C26" s="36" t="b">
        <v>0</v>
      </c>
      <c r="D26" s="21"/>
      <c r="E26" s="36"/>
      <c r="F26" s="3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ht="14.25" hidden="1" customHeight="1" outlineLevel="2">
      <c r="A27" s="36" t="s">
        <v>54</v>
      </c>
      <c r="B27" s="36"/>
      <c r="C27" s="36" t="b">
        <v>0</v>
      </c>
      <c r="D27" s="21"/>
      <c r="E27" s="36"/>
      <c r="F27" s="36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ht="14.25" hidden="1" customHeight="1" outlineLevel="2">
      <c r="A28" s="36" t="s">
        <v>55</v>
      </c>
      <c r="B28" s="36"/>
      <c r="C28" s="36" t="b">
        <v>0</v>
      </c>
      <c r="D28" s="21"/>
      <c r="E28" s="36"/>
      <c r="F28" s="36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ht="14.25" hidden="1" customHeight="1" outlineLevel="2">
      <c r="A29" s="36" t="s">
        <v>56</v>
      </c>
      <c r="B29" s="36"/>
      <c r="C29" s="36" t="b">
        <v>0</v>
      </c>
      <c r="D29" s="21"/>
      <c r="E29" s="36"/>
      <c r="F29" s="3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ht="14.25" hidden="1" customHeight="1" outlineLevel="2">
      <c r="A30" s="36" t="s">
        <v>57</v>
      </c>
      <c r="B30" s="36"/>
      <c r="C30" s="36" t="b">
        <v>0</v>
      </c>
      <c r="D30" s="21"/>
      <c r="E30" s="36"/>
      <c r="F30" s="36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ht="14.25" hidden="1" customHeight="1" outlineLevel="2">
      <c r="A31" s="36" t="s">
        <v>58</v>
      </c>
      <c r="B31" s="36"/>
      <c r="C31" s="36" t="b">
        <v>0</v>
      </c>
      <c r="D31" s="21"/>
      <c r="E31" s="36"/>
      <c r="F31" s="36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ht="14.25" hidden="1" customHeight="1" outlineLevel="2">
      <c r="A32" s="36" t="s">
        <v>59</v>
      </c>
      <c r="B32" s="36"/>
      <c r="C32" s="36" t="b">
        <v>0</v>
      </c>
      <c r="D32" s="21"/>
      <c r="E32" s="36"/>
      <c r="F32" s="36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ht="14.25" hidden="1" customHeight="1" outlineLevel="2">
      <c r="A33" s="36" t="s">
        <v>60</v>
      </c>
      <c r="B33" s="36"/>
      <c r="C33" s="36" t="b">
        <v>0</v>
      </c>
      <c r="D33" s="21"/>
      <c r="E33" s="36"/>
      <c r="F33" s="36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ht="14.25" hidden="1" customHeight="1" outlineLevel="2">
      <c r="A34" s="36" t="s">
        <v>61</v>
      </c>
      <c r="B34" s="36"/>
      <c r="C34" s="36" t="b">
        <v>0</v>
      </c>
      <c r="D34" s="21"/>
      <c r="E34" s="36"/>
      <c r="F34" s="36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ht="14.25" hidden="1" customHeight="1" outlineLevel="2">
      <c r="A35" s="36" t="s">
        <v>62</v>
      </c>
      <c r="B35" s="36"/>
      <c r="C35" s="36" t="b">
        <v>0</v>
      </c>
      <c r="D35" s="21"/>
      <c r="E35" s="36"/>
      <c r="F35" s="36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ht="14.25" customHeight="1" collapsed="1">
      <c r="A36" s="37" t="s">
        <v>63</v>
      </c>
      <c r="B36" s="37"/>
      <c r="C36" s="37"/>
      <c r="D36" s="37"/>
      <c r="E36" s="37"/>
      <c r="F36" s="37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ht="14.25" hidden="1" customHeight="1" outlineLevel="1">
      <c r="A37" s="38" t="s">
        <v>64</v>
      </c>
      <c r="B37" s="38"/>
      <c r="C37" s="38" t="b">
        <v>0</v>
      </c>
      <c r="D37" s="21"/>
      <c r="E37" s="38"/>
      <c r="F37" s="3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ht="14.25" hidden="1" customHeight="1" outlineLevel="1">
      <c r="A38" s="38" t="s">
        <v>65</v>
      </c>
      <c r="B38" s="38"/>
      <c r="C38" s="38" t="b">
        <v>0</v>
      </c>
      <c r="D38" s="21"/>
      <c r="E38" s="38"/>
      <c r="F38" s="3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ht="14.25" hidden="1" customHeight="1" outlineLevel="1">
      <c r="A39" s="38" t="s">
        <v>66</v>
      </c>
      <c r="B39" s="38"/>
      <c r="C39" s="38" t="b">
        <v>0</v>
      </c>
      <c r="D39" s="21"/>
      <c r="E39" s="38"/>
      <c r="F39" s="3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ht="14.25" hidden="1" customHeight="1" outlineLevel="1">
      <c r="A40" s="38" t="s">
        <v>67</v>
      </c>
      <c r="B40" s="38"/>
      <c r="C40" s="38" t="b">
        <v>0</v>
      </c>
      <c r="D40" s="21"/>
      <c r="E40" s="38"/>
      <c r="F40" s="3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ht="14.25" customHeight="1" collapsed="1">
      <c r="A41" s="27" t="s">
        <v>68</v>
      </c>
      <c r="B41" s="27"/>
      <c r="C41" s="27"/>
      <c r="D41" s="27"/>
      <c r="E41" s="27"/>
      <c r="F41" s="27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ht="14.25" hidden="1" customHeight="1" outlineLevel="1">
      <c r="A42" s="28" t="s">
        <v>69</v>
      </c>
      <c r="B42" s="28"/>
      <c r="C42" s="28" t="b">
        <v>0</v>
      </c>
      <c r="D42" s="21"/>
      <c r="E42" s="28"/>
      <c r="F42" s="2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ht="14.25" hidden="1" customHeight="1" outlineLevel="1">
      <c r="A43" s="28" t="s">
        <v>70</v>
      </c>
      <c r="B43" s="28"/>
      <c r="C43" s="28" t="b">
        <v>0</v>
      </c>
      <c r="D43" s="21"/>
      <c r="E43" s="28"/>
      <c r="F43" s="2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ht="14.25" hidden="1" customHeight="1" outlineLevel="1">
      <c r="A44" s="28" t="s">
        <v>71</v>
      </c>
      <c r="B44" s="28"/>
      <c r="C44" s="28" t="b">
        <v>0</v>
      </c>
      <c r="D44" s="21"/>
      <c r="E44" s="28"/>
      <c r="F44" s="2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ht="14.25" hidden="1" customHeight="1" outlineLevel="1">
      <c r="A45" s="28" t="s">
        <v>72</v>
      </c>
      <c r="B45" s="28"/>
      <c r="C45" s="28" t="b">
        <v>0</v>
      </c>
      <c r="D45" s="21"/>
      <c r="E45" s="28"/>
      <c r="F45" s="2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ht="14.25" customHeight="1" collapsed="1">
      <c r="A46" s="39" t="s">
        <v>73</v>
      </c>
      <c r="B46" s="39"/>
      <c r="C46" s="39"/>
      <c r="D46" s="39"/>
      <c r="E46" s="39"/>
      <c r="F46" s="39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ht="14.25" hidden="1" customHeight="1" outlineLevel="2">
      <c r="A47" s="40" t="s">
        <v>74</v>
      </c>
      <c r="B47" s="40"/>
      <c r="C47" s="40" t="b">
        <v>0</v>
      </c>
      <c r="D47" s="21"/>
      <c r="E47" s="40"/>
      <c r="F47" s="4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ht="14.25" hidden="1" customHeight="1" outlineLevel="2">
      <c r="A48" s="40" t="s">
        <v>75</v>
      </c>
      <c r="B48" s="40"/>
      <c r="C48" s="40" t="b">
        <v>0</v>
      </c>
      <c r="D48" s="21"/>
      <c r="E48" s="40"/>
      <c r="F48" s="4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ht="14.25" hidden="1" customHeight="1" outlineLevel="2">
      <c r="A49" s="40" t="s">
        <v>76</v>
      </c>
      <c r="B49" s="40"/>
      <c r="C49" s="40" t="b">
        <v>0</v>
      </c>
      <c r="D49" s="21"/>
      <c r="E49" s="40"/>
      <c r="F49" s="4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ht="14.25" customHeight="1" collapsed="1">
      <c r="A50" s="41" t="s">
        <v>77</v>
      </c>
      <c r="B50" s="41"/>
      <c r="C50" s="41" t="b">
        <v>0</v>
      </c>
      <c r="D50" s="41"/>
      <c r="E50" s="41"/>
      <c r="F50" s="41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ht="14.25" customHeight="1">
      <c r="F51" s="8"/>
      <c r="G51" s="8"/>
      <c r="H51" s="8"/>
      <c r="I51" s="8"/>
      <c r="J51" s="8"/>
      <c r="K51" s="8"/>
      <c r="L51" s="8"/>
      <c r="M51" s="8"/>
      <c r="N51" s="33" t="s">
        <v>78</v>
      </c>
      <c r="O51" s="8"/>
      <c r="P51" s="8"/>
      <c r="Q51" s="8"/>
      <c r="R51" s="8"/>
    </row>
    <row r="52" ht="14.25" customHeight="1">
      <c r="F52" s="8"/>
      <c r="G52" s="8"/>
      <c r="H52" s="8"/>
      <c r="I52" s="8"/>
      <c r="J52" s="8"/>
      <c r="K52" s="8"/>
      <c r="L52" s="8"/>
      <c r="M52" s="8"/>
      <c r="N52" s="33" t="s">
        <v>79</v>
      </c>
      <c r="O52" s="8"/>
      <c r="P52" s="8"/>
      <c r="Q52" s="8"/>
      <c r="R52" s="8"/>
    </row>
    <row r="53" ht="14.25" customHeight="1"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ht="14.25" customHeight="1"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>
      <c r="A77" s="42" t="s">
        <v>80</v>
      </c>
      <c r="C77" s="33"/>
      <c r="D77" s="42" t="s">
        <v>81</v>
      </c>
    </row>
    <row r="78" ht="14.25" customHeight="1">
      <c r="A78" s="33" t="s">
        <v>82</v>
      </c>
      <c r="B78" s="33">
        <v>0.0</v>
      </c>
      <c r="C78" s="33"/>
      <c r="D78" s="33" t="s">
        <v>83</v>
      </c>
      <c r="E78" s="33">
        <f>COUNTIF(C3:C50,TRUE)</f>
        <v>0</v>
      </c>
    </row>
    <row r="79" ht="14.25" customHeight="1">
      <c r="A79" s="33" t="s">
        <v>84</v>
      </c>
      <c r="B79" s="33">
        <v>6.0</v>
      </c>
      <c r="C79" s="33"/>
      <c r="D79" s="33" t="s">
        <v>81</v>
      </c>
      <c r="E79" s="33">
        <v>1.0</v>
      </c>
    </row>
    <row r="80" ht="14.25" customHeight="1">
      <c r="A80" s="33" t="s">
        <v>85</v>
      </c>
      <c r="B80" s="33">
        <v>28.0</v>
      </c>
      <c r="C80" s="33"/>
      <c r="D80" s="33" t="s">
        <v>86</v>
      </c>
      <c r="E80" s="33">
        <f>81-(E78+E79)</f>
        <v>80</v>
      </c>
    </row>
    <row r="81" ht="14.25" customHeight="1">
      <c r="A81" s="33" t="s">
        <v>87</v>
      </c>
      <c r="B81" s="33">
        <v>7.0</v>
      </c>
      <c r="C81" s="33"/>
      <c r="D81" s="33"/>
      <c r="E81" s="33"/>
    </row>
    <row r="82" ht="14.25" customHeight="1">
      <c r="A82" s="33" t="s">
        <v>88</v>
      </c>
      <c r="B82" s="33">
        <f>SUM(B79:B81)</f>
        <v>41</v>
      </c>
      <c r="C82" s="33"/>
      <c r="D82" s="33"/>
      <c r="E82" s="33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A77:B77"/>
    <mergeCell ref="D77:E77"/>
  </mergeCells>
  <dataValidations>
    <dataValidation type="list" allowBlank="1" showErrorMessage="1" sqref="E3:E50">
      <formula1>$N$51:$N$52</formula1>
    </dataValidation>
    <dataValidation type="list" allowBlank="1" showErrorMessage="1" sqref="D3:D50">
      <formula1>$M$19:$M$20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2026-01-05T06:36:46Z</dcterms:created>
  <dc:creator>Adam Swanepoel</dc:creator>
</cp:coreProperties>
</file>